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<sst xmlns="http://schemas.openxmlformats.org/spreadsheetml/2006/main" count="138" uniqueCount="32">
  <si>
    <t xml:space="preserve">Ficticious Social Accounting Matrix</t>
  </si>
  <si>
    <t xml:space="preserve">PEP standard model V2.0</t>
  </si>
  <si>
    <t xml:space="preserve">L</t>
  </si>
  <si>
    <t xml:space="preserve">K</t>
  </si>
  <si>
    <t xml:space="preserve">AG</t>
  </si>
  <si>
    <t xml:space="preserve">J</t>
  </si>
  <si>
    <t xml:space="preserve">I</t>
  </si>
  <si>
    <t xml:space="preserve">X</t>
  </si>
  <si>
    <t xml:space="preserve">OTH</t>
  </si>
  <si>
    <t xml:space="preserve">USK</t>
  </si>
  <si>
    <t xml:space="preserve">SK</t>
  </si>
  <si>
    <t xml:space="preserve">CAP</t>
  </si>
  <si>
    <t xml:space="preserve">LAND</t>
  </si>
  <si>
    <t xml:space="preserve">HRP</t>
  </si>
  <si>
    <t xml:space="preserve">HUP</t>
  </si>
  <si>
    <t xml:space="preserve">HRR</t>
  </si>
  <si>
    <t xml:space="preserve">HUR</t>
  </si>
  <si>
    <t xml:space="preserve">FIRM</t>
  </si>
  <si>
    <t xml:space="preserve">GVT</t>
  </si>
  <si>
    <t xml:space="preserve">TD</t>
  </si>
  <si>
    <t xml:space="preserve">TM</t>
  </si>
  <si>
    <t xml:space="preserve">TI</t>
  </si>
  <si>
    <t xml:space="preserve">ROW</t>
  </si>
  <si>
    <t xml:space="preserve">AGR</t>
  </si>
  <si>
    <t xml:space="preserve">IND</t>
  </si>
  <si>
    <t xml:space="preserve">SER</t>
  </si>
  <si>
    <t xml:space="preserve">ADM</t>
  </si>
  <si>
    <t xml:space="preserve">FOOD</t>
  </si>
  <si>
    <t xml:space="preserve">OTHIND</t>
  </si>
  <si>
    <t xml:space="preserve">INV</t>
  </si>
  <si>
    <t xml:space="preserve">VSTK</t>
  </si>
  <si>
    <t xml:space="preserve">TOT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</si>
</sst>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1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35" min="35" style="0" width="10.13"/>
  </cols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/>
    </row>
    <row r="4" customFormat="false" ht="12.75" hidden="false" customHeight="false" outlineLevel="0" collapsed="false">
      <c r="C4" s="2" t="s">
        <v>2</v>
      </c>
      <c r="D4" s="2" t="s">
        <v>2</v>
      </c>
      <c r="E4" s="2" t="s">
        <v>3</v>
      </c>
      <c r="F4" s="2" t="s">
        <v>3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5</v>
      </c>
      <c r="V4" s="2" t="s">
        <v>5</v>
      </c>
      <c r="W4" s="2" t="s">
        <v>5</v>
      </c>
      <c r="X4" s="2" t="s">
        <v>5</v>
      </c>
      <c r="Y4" s="2" t="s">
        <v>6</v>
      </c>
      <c r="Z4" s="2" t="s">
        <v>6</v>
      </c>
      <c r="AA4" s="2" t="s">
        <v>6</v>
      </c>
      <c r="AB4" s="2" t="s">
        <v>6</v>
      </c>
      <c r="AC4" s="2" t="s">
        <v>6</v>
      </c>
      <c r="AD4" s="2" t="s">
        <v>7</v>
      </c>
      <c r="AE4" s="2" t="s">
        <v>7</v>
      </c>
      <c r="AF4" s="2" t="s">
        <v>7</v>
      </c>
      <c r="AG4" s="2" t="s">
        <v>7</v>
      </c>
      <c r="AH4" s="2" t="s">
        <v>8</v>
      </c>
      <c r="AI4" s="2" t="s">
        <v>8</v>
      </c>
      <c r="AJ4" s="2" t="s">
        <v>8</v>
      </c>
    </row>
    <row r="5" s="2" customFormat="true" ht="12.75" hidden="false" customHeight="false" outlineLevel="0" collapsed="false">
      <c r="C5" s="3" t="s">
        <v>9</v>
      </c>
      <c r="D5" s="3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3" t="s">
        <v>9</v>
      </c>
      <c r="Q5" s="3" t="s">
        <v>10</v>
      </c>
      <c r="R5" s="2" t="s">
        <v>11</v>
      </c>
      <c r="S5" s="2" t="s">
        <v>12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23</v>
      </c>
      <c r="Z5" s="3" t="s">
        <v>27</v>
      </c>
      <c r="AA5" s="3" t="s">
        <v>28</v>
      </c>
      <c r="AB5" s="2" t="s">
        <v>25</v>
      </c>
      <c r="AC5" s="2" t="s">
        <v>26</v>
      </c>
      <c r="AD5" s="2" t="s">
        <v>23</v>
      </c>
      <c r="AE5" s="3" t="s">
        <v>27</v>
      </c>
      <c r="AF5" s="3" t="s">
        <v>28</v>
      </c>
      <c r="AG5" s="2" t="s">
        <v>25</v>
      </c>
      <c r="AH5" s="3" t="s">
        <v>29</v>
      </c>
      <c r="AI5" s="3" t="s">
        <v>30</v>
      </c>
      <c r="AJ5" s="2" t="s">
        <v>31</v>
      </c>
    </row>
    <row r="6" customFormat="false" ht="12.75" hidden="false" customHeight="false" outlineLevel="0" collapsed="false">
      <c r="A6" s="0" t="s">
        <v>2</v>
      </c>
      <c r="B6" s="1" t="s">
        <v>9</v>
      </c>
      <c r="C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T6" s="0" t="n">
        <v>0</v>
      </c>
      <c r="U6" s="0" t="n">
        <v>10002</v>
      </c>
      <c r="V6" s="0" t="n">
        <v>2289</v>
      </c>
      <c r="X6" s="0" t="n">
        <v>3006</v>
      </c>
      <c r="Y6" s="0" t="n">
        <v>0</v>
      </c>
      <c r="Z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G6" s="0" t="n">
        <v>0</v>
      </c>
      <c r="AH6" s="0" t="n">
        <v>0</v>
      </c>
      <c r="AJ6" s="0" t="n">
        <f aca="false">SUM(C6:AI6)</f>
        <v>15297</v>
      </c>
    </row>
    <row r="7" customFormat="false" ht="12.75" hidden="false" customHeight="false" outlineLevel="0" collapsed="false">
      <c r="A7" s="0" t="s">
        <v>2</v>
      </c>
      <c r="B7" s="1" t="s">
        <v>10</v>
      </c>
      <c r="U7" s="0" t="n">
        <v>910</v>
      </c>
      <c r="W7" s="0" t="n">
        <v>10147</v>
      </c>
      <c r="X7" s="0" t="n">
        <v>970</v>
      </c>
      <c r="AJ7" s="0" t="n">
        <f aca="false">SUM(C7:AI7)</f>
        <v>12027</v>
      </c>
    </row>
    <row r="8" customFormat="false" ht="12.75" hidden="false" customHeight="false" outlineLevel="0" collapsed="false">
      <c r="A8" s="0" t="s">
        <v>3</v>
      </c>
      <c r="B8" s="0" t="s">
        <v>11</v>
      </c>
      <c r="C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T8" s="0" t="n">
        <v>0</v>
      </c>
      <c r="U8" s="0" t="n">
        <v>2086</v>
      </c>
      <c r="V8" s="0" t="n">
        <v>7015</v>
      </c>
      <c r="W8" s="0" t="n">
        <v>4009</v>
      </c>
      <c r="X8" s="0" t="n">
        <v>0</v>
      </c>
      <c r="Y8" s="0" t="n">
        <v>0</v>
      </c>
      <c r="Z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G8" s="0" t="n">
        <v>0</v>
      </c>
      <c r="AH8" s="0" t="n">
        <v>0</v>
      </c>
      <c r="AJ8" s="0" t="n">
        <f aca="false">SUM(C8:AI8)</f>
        <v>13110</v>
      </c>
    </row>
    <row r="9" customFormat="false" ht="12.75" hidden="false" customHeight="false" outlineLevel="0" collapsed="false">
      <c r="A9" s="0" t="s">
        <v>3</v>
      </c>
      <c r="B9" s="0" t="s">
        <v>12</v>
      </c>
      <c r="C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T9" s="0" t="n">
        <v>0</v>
      </c>
      <c r="U9" s="0" t="n">
        <v>6133</v>
      </c>
      <c r="V9" s="0" t="n">
        <v>100</v>
      </c>
      <c r="W9" s="0" t="n">
        <v>0</v>
      </c>
      <c r="X9" s="0" t="n">
        <v>0</v>
      </c>
      <c r="Y9" s="0" t="n">
        <v>0</v>
      </c>
      <c r="Z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G9" s="0" t="n">
        <v>0</v>
      </c>
      <c r="AH9" s="0" t="n">
        <v>0</v>
      </c>
      <c r="AJ9" s="0" t="n">
        <f aca="false">SUM(C9:AI9)</f>
        <v>6233</v>
      </c>
    </row>
    <row r="10" customFormat="false" ht="12.75" hidden="false" customHeight="false" outlineLevel="0" collapsed="false">
      <c r="A10" s="0" t="s">
        <v>4</v>
      </c>
      <c r="B10" s="0" t="s">
        <v>13</v>
      </c>
      <c r="C10" s="0" t="n">
        <f aca="false">10993-D10</f>
        <v>5915</v>
      </c>
      <c r="D10" s="0" t="n">
        <v>5078</v>
      </c>
      <c r="E10" s="0" t="n">
        <v>526</v>
      </c>
      <c r="F10" s="0" t="n">
        <v>1132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G10" s="0" t="n">
        <v>0</v>
      </c>
      <c r="AH10" s="0" t="n">
        <v>0</v>
      </c>
      <c r="AJ10" s="0" t="n">
        <f aca="false">SUM(C10:AI10)</f>
        <v>12651</v>
      </c>
    </row>
    <row r="11" customFormat="false" ht="12.75" hidden="false" customHeight="false" outlineLevel="0" collapsed="false">
      <c r="A11" s="0" t="s">
        <v>4</v>
      </c>
      <c r="B11" s="0" t="s">
        <v>14</v>
      </c>
      <c r="C11" s="0" t="n">
        <f aca="false">11997-D11</f>
        <v>7300</v>
      </c>
      <c r="D11" s="0" t="n">
        <v>4697</v>
      </c>
      <c r="E11" s="0" t="n">
        <v>1054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139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G11" s="0" t="n">
        <v>0</v>
      </c>
      <c r="AH11" s="0" t="n">
        <v>0</v>
      </c>
      <c r="AJ11" s="0" t="n">
        <f aca="false">SUM(C11:AI11)</f>
        <v>13190</v>
      </c>
    </row>
    <row r="12" customFormat="false" ht="12.75" hidden="false" customHeight="false" outlineLevel="0" collapsed="false">
      <c r="A12" s="0" t="s">
        <v>4</v>
      </c>
      <c r="B12" s="0" t="s">
        <v>15</v>
      </c>
      <c r="C12" s="0" t="n">
        <f aca="false">2114-D12</f>
        <v>872</v>
      </c>
      <c r="D12" s="0" t="n">
        <v>1242</v>
      </c>
      <c r="E12" s="0" t="n">
        <v>526</v>
      </c>
      <c r="F12" s="0" t="n">
        <v>3602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G12" s="0" t="n">
        <v>0</v>
      </c>
      <c r="AH12" s="0" t="n">
        <v>0</v>
      </c>
      <c r="AJ12" s="0" t="n">
        <f aca="false">SUM(C12:AI12)</f>
        <v>6242</v>
      </c>
    </row>
    <row r="13" customFormat="false" ht="12.75" hidden="false" customHeight="false" outlineLevel="0" collapsed="false">
      <c r="A13" s="0" t="s">
        <v>4</v>
      </c>
      <c r="B13" s="0" t="s">
        <v>16</v>
      </c>
      <c r="C13" s="0" t="n">
        <f aca="false">2220-D13</f>
        <v>1210</v>
      </c>
      <c r="D13" s="0" t="n">
        <v>1010</v>
      </c>
      <c r="E13" s="0" t="n">
        <v>6221</v>
      </c>
      <c r="F13" s="0" t="n">
        <v>100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1900</v>
      </c>
      <c r="L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G13" s="0" t="n">
        <v>0</v>
      </c>
      <c r="AH13" s="0" t="n">
        <v>0</v>
      </c>
      <c r="AJ13" s="0" t="n">
        <f aca="false">SUM(C13:AI13)</f>
        <v>10441</v>
      </c>
    </row>
    <row r="14" customFormat="false" ht="12.75" hidden="false" customHeight="false" outlineLevel="0" collapsed="false">
      <c r="A14" s="0" t="s">
        <v>4</v>
      </c>
      <c r="B14" s="0" t="s">
        <v>17</v>
      </c>
      <c r="C14" s="0" t="n">
        <v>0</v>
      </c>
      <c r="E14" s="0" t="n">
        <v>4741</v>
      </c>
      <c r="F14" s="0" t="n">
        <v>488</v>
      </c>
      <c r="G14" s="0" t="n">
        <v>0</v>
      </c>
      <c r="H14" s="0" t="n">
        <v>0</v>
      </c>
      <c r="I14" s="0" t="n">
        <v>10</v>
      </c>
      <c r="J14" s="0" t="n">
        <v>0</v>
      </c>
      <c r="K14" s="0" t="n">
        <v>0</v>
      </c>
      <c r="L14" s="0" t="n">
        <v>10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G14" s="0" t="n">
        <v>0</v>
      </c>
      <c r="AH14" s="0" t="n">
        <v>0</v>
      </c>
      <c r="AJ14" s="0" t="n">
        <f aca="false">SUM(C14:AI14)</f>
        <v>5249</v>
      </c>
    </row>
    <row r="15" customFormat="false" ht="12.75" hidden="false" customHeight="false" outlineLevel="0" collapsed="false">
      <c r="A15" s="0" t="s">
        <v>4</v>
      </c>
      <c r="B15" s="0" t="s">
        <v>18</v>
      </c>
      <c r="C15" s="0" t="n">
        <v>0</v>
      </c>
      <c r="E15" s="0" t="n">
        <v>0</v>
      </c>
      <c r="F15" s="0" t="n">
        <v>0</v>
      </c>
      <c r="G15" s="0" t="n">
        <v>40</v>
      </c>
      <c r="H15" s="0" t="n">
        <v>100</v>
      </c>
      <c r="J15" s="0" t="n">
        <v>122</v>
      </c>
      <c r="K15" s="0" t="n">
        <v>81</v>
      </c>
      <c r="L15" s="0" t="n">
        <v>0</v>
      </c>
      <c r="M15" s="0" t="n">
        <f aca="false">AJ16</f>
        <v>2308</v>
      </c>
      <c r="N15" s="0" t="n">
        <f aca="false">AJ17</f>
        <v>2500</v>
      </c>
      <c r="O15" s="0" t="n">
        <f aca="false">AJ18</f>
        <v>4375</v>
      </c>
      <c r="P15" s="0" t="n">
        <f aca="false">AJ19</f>
        <v>1843</v>
      </c>
      <c r="Q15" s="0" t="n">
        <f aca="false">AJ20</f>
        <v>137</v>
      </c>
      <c r="R15" s="0" t="n">
        <f aca="false">AJ21</f>
        <v>46</v>
      </c>
      <c r="S15" s="0" t="n">
        <f aca="false">AJ22</f>
        <v>0</v>
      </c>
      <c r="T15" s="0" t="n">
        <v>0</v>
      </c>
      <c r="U15" s="0" t="n">
        <f aca="false">-10-SUM(U19:U22)</f>
        <v>-1693</v>
      </c>
      <c r="V15" s="0" t="n">
        <f aca="false">50-SUM(V19:V22)</f>
        <v>-293</v>
      </c>
      <c r="W15" s="0" t="n">
        <v>0</v>
      </c>
      <c r="X15" s="0" t="n">
        <v>0</v>
      </c>
      <c r="AC15" s="0" t="n">
        <v>0</v>
      </c>
      <c r="AD15" s="0" t="n">
        <v>99</v>
      </c>
      <c r="AE15" s="0" t="n">
        <v>0</v>
      </c>
      <c r="AG15" s="0" t="n">
        <v>0</v>
      </c>
      <c r="AH15" s="0" t="n">
        <v>0</v>
      </c>
      <c r="AJ15" s="0" t="n">
        <f aca="false">SUM(C15:AI15)</f>
        <v>9665</v>
      </c>
    </row>
    <row r="16" customFormat="false" ht="12.75" hidden="false" customHeight="false" outlineLevel="0" collapsed="false">
      <c r="A16" s="0" t="s">
        <v>4</v>
      </c>
      <c r="B16" s="0" t="s">
        <v>19</v>
      </c>
      <c r="G16" s="0" t="n">
        <v>44</v>
      </c>
      <c r="H16" s="0" t="n">
        <v>428</v>
      </c>
      <c r="I16" s="0" t="n">
        <v>146</v>
      </c>
      <c r="J16" s="0" t="n">
        <v>390</v>
      </c>
      <c r="K16" s="0" t="n">
        <v>1300</v>
      </c>
      <c r="AJ16" s="0" t="n">
        <f aca="false">SUM(C16:AI16)</f>
        <v>2308</v>
      </c>
    </row>
    <row r="17" customFormat="false" ht="12.75" hidden="false" customHeight="false" outlineLevel="0" collapsed="false">
      <c r="A17" s="0" t="s">
        <v>4</v>
      </c>
      <c r="B17" s="0" t="s">
        <v>20</v>
      </c>
      <c r="Y17" s="0" t="n">
        <v>500</v>
      </c>
      <c r="Z17" s="0" t="n">
        <v>200</v>
      </c>
      <c r="AA17" s="0" t="n">
        <v>1800</v>
      </c>
      <c r="AJ17" s="0" t="n">
        <f aca="false">SUM(C17:AI17)</f>
        <v>2500</v>
      </c>
    </row>
    <row r="18" customFormat="false" ht="12.75" hidden="false" customHeight="false" outlineLevel="0" collapsed="false">
      <c r="A18" s="0" t="s">
        <v>4</v>
      </c>
      <c r="B18" s="0" t="s">
        <v>21</v>
      </c>
      <c r="Y18" s="0" t="n">
        <v>684</v>
      </c>
      <c r="Z18" s="0" t="n">
        <v>1400</v>
      </c>
      <c r="AA18" s="0" t="n">
        <v>1554</v>
      </c>
      <c r="AB18" s="0" t="n">
        <v>737</v>
      </c>
      <c r="AJ18" s="0" t="n">
        <f aca="false">SUM(C18:AI18)</f>
        <v>4375</v>
      </c>
    </row>
    <row r="19" customFormat="false" ht="12.75" hidden="false" customHeight="false" outlineLevel="0" collapsed="false">
      <c r="A19" s="0" t="s">
        <v>4</v>
      </c>
      <c r="B19" s="1" t="s">
        <v>9</v>
      </c>
      <c r="U19" s="0" t="n">
        <f aca="false">ROUND(0.15*U6,0)</f>
        <v>1500</v>
      </c>
      <c r="V19" s="0" t="n">
        <f aca="false">ROUND(0.15*V6,0)</f>
        <v>343</v>
      </c>
      <c r="AJ19" s="0" t="n">
        <f aca="false">SUM(C19:AI19)</f>
        <v>1843</v>
      </c>
    </row>
    <row r="20" customFormat="false" ht="12.75" hidden="false" customHeight="false" outlineLevel="0" collapsed="false">
      <c r="A20" s="0" t="s">
        <v>4</v>
      </c>
      <c r="B20" s="1" t="s">
        <v>10</v>
      </c>
      <c r="U20" s="0" t="n">
        <f aca="false">ROUND(0.15*U7,0)</f>
        <v>137</v>
      </c>
      <c r="V20" s="0" t="n">
        <f aca="false">ROUND(0.15*V7,0)</f>
        <v>0</v>
      </c>
      <c r="AJ20" s="0" t="n">
        <f aca="false">SUM(C20:AI20)</f>
        <v>137</v>
      </c>
    </row>
    <row r="21" customFormat="false" ht="12.75" hidden="false" customHeight="false" outlineLevel="0" collapsed="false">
      <c r="A21" s="0" t="s">
        <v>4</v>
      </c>
      <c r="B21" s="0" t="s">
        <v>11</v>
      </c>
      <c r="U21" s="0" t="n">
        <f aca="false">ROUND(0.05*U7,0)</f>
        <v>46</v>
      </c>
      <c r="V21" s="0" t="n">
        <f aca="false">ROUND(0.05*V7,0)</f>
        <v>0</v>
      </c>
      <c r="AJ21" s="0" t="n">
        <f aca="false">SUM(C21:AI21)</f>
        <v>46</v>
      </c>
    </row>
    <row r="22" customFormat="false" ht="12.75" hidden="false" customHeight="false" outlineLevel="0" collapsed="false">
      <c r="A22" s="0" t="s">
        <v>4</v>
      </c>
      <c r="B22" s="0" t="s">
        <v>12</v>
      </c>
      <c r="AJ22" s="0" t="n">
        <f aca="false">SUM(C22:AI22)</f>
        <v>0</v>
      </c>
    </row>
    <row r="23" customFormat="false" ht="12.75" hidden="false" customHeight="false" outlineLevel="0" collapsed="false">
      <c r="A23" s="0" t="s">
        <v>4</v>
      </c>
      <c r="B23" s="0" t="s">
        <v>22</v>
      </c>
      <c r="C23" s="0" t="n">
        <v>0</v>
      </c>
      <c r="E23" s="0" t="n">
        <v>42</v>
      </c>
      <c r="F23" s="0" t="n">
        <v>911</v>
      </c>
      <c r="G23" s="0" t="n">
        <v>0</v>
      </c>
      <c r="H23" s="0" t="n">
        <v>0</v>
      </c>
      <c r="I23" s="0" t="n">
        <v>0</v>
      </c>
      <c r="J23" s="0" t="n">
        <v>10</v>
      </c>
      <c r="K23" s="0" t="n">
        <v>370</v>
      </c>
      <c r="L23" s="0" t="n">
        <v>30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2613</v>
      </c>
      <c r="Z23" s="0" t="n">
        <f aca="false">4928-3470</f>
        <v>1458</v>
      </c>
      <c r="AA23" s="0" t="n">
        <v>9970</v>
      </c>
      <c r="AB23" s="0" t="n">
        <v>1691</v>
      </c>
      <c r="AC23" s="0" t="n">
        <v>0</v>
      </c>
      <c r="AD23" s="0" t="n">
        <v>0</v>
      </c>
      <c r="AE23" s="0" t="n">
        <v>0</v>
      </c>
      <c r="AG23" s="0" t="n">
        <v>0</v>
      </c>
      <c r="AH23" s="0" t="n">
        <v>0</v>
      </c>
      <c r="AJ23" s="0" t="n">
        <f aca="false">SUM(C23:AI23)</f>
        <v>17095</v>
      </c>
    </row>
    <row r="24" customFormat="false" ht="12.75" hidden="false" customHeight="false" outlineLevel="0" collapsed="false">
      <c r="A24" s="0" t="s">
        <v>5</v>
      </c>
      <c r="B24" s="0" t="s">
        <v>23</v>
      </c>
      <c r="C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f aca="false">(25251+60)-7477</f>
        <v>17834</v>
      </c>
      <c r="Z24" s="0" t="n">
        <v>250</v>
      </c>
      <c r="AB24" s="0" t="n">
        <v>210</v>
      </c>
      <c r="AC24" s="0" t="n">
        <v>0</v>
      </c>
      <c r="AD24" s="0" t="n">
        <v>7417</v>
      </c>
      <c r="AH24" s="0" t="n">
        <v>0</v>
      </c>
      <c r="AJ24" s="0" t="n">
        <f aca="false">SUM(C24:AI24)</f>
        <v>25711</v>
      </c>
    </row>
    <row r="25" customFormat="false" ht="12.75" hidden="false" customHeight="false" outlineLevel="0" collapsed="false">
      <c r="A25" s="0" t="s">
        <v>5</v>
      </c>
      <c r="B25" s="0" t="s">
        <v>24</v>
      </c>
      <c r="C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400</v>
      </c>
      <c r="Z25" s="0" t="n">
        <f aca="false">5728+6500+3470</f>
        <v>15698</v>
      </c>
      <c r="AB25" s="0" t="n">
        <v>20</v>
      </c>
      <c r="AC25" s="0" t="n">
        <v>0</v>
      </c>
      <c r="AE25" s="0" t="n">
        <v>241</v>
      </c>
      <c r="AF25" s="0" t="n">
        <v>1180</v>
      </c>
      <c r="AH25" s="0" t="n">
        <v>0</v>
      </c>
      <c r="AJ25" s="0" t="n">
        <f aca="false">SUM(C25:AI25)</f>
        <v>17539</v>
      </c>
    </row>
    <row r="26" customFormat="false" ht="12.75" hidden="false" customHeight="false" outlineLevel="0" collapsed="false">
      <c r="A26" s="0" t="s">
        <v>5</v>
      </c>
      <c r="B26" s="0" t="s">
        <v>25</v>
      </c>
      <c r="C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150</v>
      </c>
      <c r="AB26" s="0" t="n">
        <v>18532</v>
      </c>
      <c r="AC26" s="0" t="n">
        <v>0</v>
      </c>
      <c r="AG26" s="0" t="n">
        <v>2653</v>
      </c>
      <c r="AH26" s="0" t="n">
        <v>0</v>
      </c>
      <c r="AJ26" s="0" t="n">
        <f aca="false">SUM(C26:AI26)</f>
        <v>21335</v>
      </c>
    </row>
    <row r="27" customFormat="false" ht="12.75" hidden="false" customHeight="false" outlineLevel="0" collapsed="false">
      <c r="A27" s="0" t="s">
        <v>5</v>
      </c>
      <c r="B27" s="0" t="s">
        <v>26</v>
      </c>
      <c r="C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B27" s="0" t="n">
        <v>0</v>
      </c>
      <c r="AC27" s="0" t="n">
        <v>8255</v>
      </c>
      <c r="AD27" s="0" t="n">
        <v>0</v>
      </c>
      <c r="AE27" s="0" t="n">
        <v>0</v>
      </c>
      <c r="AG27" s="0" t="n">
        <v>0</v>
      </c>
      <c r="AH27" s="0" t="n">
        <v>0</v>
      </c>
      <c r="AJ27" s="0" t="n">
        <f aca="false">SUM(C27:AI27)</f>
        <v>8255</v>
      </c>
    </row>
    <row r="28" customFormat="false" ht="12.75" hidden="false" customHeight="false" outlineLevel="0" collapsed="false">
      <c r="A28" s="0" t="s">
        <v>6</v>
      </c>
      <c r="B28" s="0" t="s">
        <v>23</v>
      </c>
      <c r="C28" s="0" t="n">
        <v>0</v>
      </c>
      <c r="E28" s="0" t="n">
        <v>0</v>
      </c>
      <c r="F28" s="0" t="n">
        <v>0</v>
      </c>
      <c r="G28" s="0" t="n">
        <v>6338</v>
      </c>
      <c r="H28" s="0" t="n">
        <v>4496</v>
      </c>
      <c r="I28" s="0" t="n">
        <v>2441</v>
      </c>
      <c r="J28" s="0" t="n">
        <v>1755</v>
      </c>
      <c r="K28" s="0" t="n">
        <v>0</v>
      </c>
      <c r="L28" s="0" t="n">
        <v>0</v>
      </c>
      <c r="T28" s="0" t="n">
        <v>0</v>
      </c>
      <c r="U28" s="0" t="n">
        <v>2715</v>
      </c>
      <c r="V28" s="0" t="n">
        <v>1402</v>
      </c>
      <c r="W28" s="0" t="n">
        <v>1327</v>
      </c>
      <c r="X28" s="0" t="n">
        <v>93</v>
      </c>
      <c r="Y28" s="0" t="n">
        <v>0</v>
      </c>
      <c r="Z28" s="0" t="n">
        <v>0</v>
      </c>
      <c r="AB28" s="0" t="n">
        <v>0</v>
      </c>
      <c r="AC28" s="0" t="n">
        <v>0</v>
      </c>
      <c r="AH28" s="0" t="n">
        <f aca="false">1564+600</f>
        <v>2164</v>
      </c>
      <c r="AI28" s="0" t="n">
        <v>-600</v>
      </c>
      <c r="AJ28" s="0" t="n">
        <f aca="false">SUM(C28:AI28)</f>
        <v>22131</v>
      </c>
    </row>
    <row r="29" customFormat="false" ht="12.75" hidden="false" customHeight="false" outlineLevel="0" collapsed="false">
      <c r="A29" s="0" t="s">
        <v>6</v>
      </c>
      <c r="B29" s="1" t="s">
        <v>27</v>
      </c>
      <c r="C29" s="0" t="n">
        <v>0</v>
      </c>
      <c r="E29" s="0" t="n">
        <v>0</v>
      </c>
      <c r="F29" s="0" t="n">
        <v>0</v>
      </c>
      <c r="G29" s="0" t="n">
        <v>2504</v>
      </c>
      <c r="H29" s="0" t="n">
        <v>3050</v>
      </c>
      <c r="I29" s="0" t="n">
        <v>950</v>
      </c>
      <c r="J29" s="0" t="n">
        <v>2400</v>
      </c>
      <c r="K29" s="0" t="n">
        <v>0</v>
      </c>
      <c r="L29" s="0" t="n">
        <v>0</v>
      </c>
      <c r="T29" s="0" t="n">
        <v>0</v>
      </c>
      <c r="U29" s="0" t="n">
        <v>825</v>
      </c>
      <c r="V29" s="0" t="n">
        <v>770</v>
      </c>
      <c r="W29" s="0" t="n">
        <v>1600</v>
      </c>
      <c r="X29" s="0" t="n">
        <v>0</v>
      </c>
      <c r="Z29" s="0" t="n">
        <v>0</v>
      </c>
      <c r="AB29" s="0" t="n">
        <v>0</v>
      </c>
      <c r="AC29" s="0" t="n">
        <v>0</v>
      </c>
      <c r="AH29" s="0" t="n">
        <f aca="false">7057-200</f>
        <v>6857</v>
      </c>
      <c r="AI29" s="0" t="n">
        <v>200</v>
      </c>
      <c r="AJ29" s="0" t="n">
        <f aca="false">SUM(C29:AI29)</f>
        <v>19156</v>
      </c>
    </row>
    <row r="30" customFormat="false" ht="12.75" hidden="false" customHeight="false" outlineLevel="0" collapsed="false">
      <c r="A30" s="0" t="s">
        <v>6</v>
      </c>
      <c r="B30" s="1" t="s">
        <v>28</v>
      </c>
      <c r="G30" s="0" t="n">
        <v>1090</v>
      </c>
      <c r="H30" s="0" t="n">
        <v>1601</v>
      </c>
      <c r="I30" s="0" t="n">
        <v>1003</v>
      </c>
      <c r="J30" s="0" t="n">
        <v>3043</v>
      </c>
      <c r="U30" s="0" t="n">
        <v>1102</v>
      </c>
      <c r="V30" s="0" t="n">
        <v>2930</v>
      </c>
      <c r="W30" s="0" t="n">
        <v>455</v>
      </c>
      <c r="X30" s="0" t="n">
        <v>2100</v>
      </c>
      <c r="AJ30" s="0" t="n">
        <f aca="false">SUM(C30:AI30)</f>
        <v>13324</v>
      </c>
    </row>
    <row r="31" customFormat="false" ht="12.75" hidden="false" customHeight="false" outlineLevel="0" collapsed="false">
      <c r="A31" s="0" t="s">
        <v>6</v>
      </c>
      <c r="B31" s="0" t="s">
        <v>25</v>
      </c>
      <c r="C31" s="0" t="n">
        <v>0</v>
      </c>
      <c r="E31" s="0" t="n">
        <v>0</v>
      </c>
      <c r="F31" s="0" t="n">
        <v>0</v>
      </c>
      <c r="G31" s="0" t="n">
        <v>2635</v>
      </c>
      <c r="H31" s="0" t="n">
        <v>3515</v>
      </c>
      <c r="I31" s="0" t="n">
        <v>1620</v>
      </c>
      <c r="J31" s="0" t="n">
        <v>2426</v>
      </c>
      <c r="K31" s="0" t="n">
        <v>0</v>
      </c>
      <c r="L31" s="0" t="n">
        <v>0</v>
      </c>
      <c r="T31" s="0" t="n">
        <v>0</v>
      </c>
      <c r="U31" s="0" t="n">
        <v>1948</v>
      </c>
      <c r="V31" s="0" t="n">
        <v>2983</v>
      </c>
      <c r="W31" s="0" t="n">
        <v>3797</v>
      </c>
      <c r="X31" s="0" t="n">
        <v>2086</v>
      </c>
      <c r="Y31" s="0" t="n">
        <v>100</v>
      </c>
      <c r="Z31" s="0" t="n">
        <v>0</v>
      </c>
      <c r="AB31" s="0" t="n">
        <v>0</v>
      </c>
      <c r="AC31" s="0" t="n">
        <v>0</v>
      </c>
      <c r="AD31" s="0" t="n">
        <v>60</v>
      </c>
      <c r="AF31" s="0" t="n">
        <v>20</v>
      </c>
      <c r="AH31" s="0" t="n">
        <v>0</v>
      </c>
      <c r="AJ31" s="0" t="n">
        <f aca="false">SUM(C31:AI31)</f>
        <v>21190</v>
      </c>
    </row>
    <row r="32" customFormat="false" ht="12.75" hidden="false" customHeight="false" outlineLevel="0" collapsed="false">
      <c r="A32" s="0" t="s">
        <v>6</v>
      </c>
      <c r="B32" s="0" t="s">
        <v>26</v>
      </c>
      <c r="C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8255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B32" s="0" t="n">
        <v>0</v>
      </c>
      <c r="AC32" s="0" t="n">
        <v>0</v>
      </c>
      <c r="AH32" s="0" t="n">
        <v>0</v>
      </c>
      <c r="AJ32" s="0" t="n">
        <f aca="false">SUM(C32:AI32)</f>
        <v>8255</v>
      </c>
    </row>
    <row r="33" customFormat="false" ht="12.75" hidden="false" customHeight="false" outlineLevel="0" collapsed="false">
      <c r="A33" s="0" t="s">
        <v>7</v>
      </c>
      <c r="B33" s="0" t="s">
        <v>23</v>
      </c>
      <c r="C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T33" s="0" t="n">
        <v>7576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G33" s="0" t="n">
        <v>0</v>
      </c>
      <c r="AH33" s="0" t="n">
        <v>0</v>
      </c>
      <c r="AJ33" s="0" t="n">
        <f aca="false">SUM(C33:AI33)</f>
        <v>7576</v>
      </c>
    </row>
    <row r="34" customFormat="false" ht="12.75" hidden="false" customHeight="false" outlineLevel="0" collapsed="false">
      <c r="A34" s="0" t="s">
        <v>7</v>
      </c>
      <c r="B34" s="1" t="s">
        <v>27</v>
      </c>
      <c r="T34" s="0" t="n">
        <v>241</v>
      </c>
      <c r="AJ34" s="0" t="n">
        <f aca="false">SUM(C34:AI34)</f>
        <v>241</v>
      </c>
    </row>
    <row r="35" customFormat="false" ht="12.75" hidden="false" customHeight="false" outlineLevel="0" collapsed="false">
      <c r="A35" s="0" t="s">
        <v>7</v>
      </c>
      <c r="B35" s="1" t="s">
        <v>28</v>
      </c>
      <c r="C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T35" s="0" t="n">
        <v>1200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G35" s="0" t="n">
        <v>0</v>
      </c>
      <c r="AH35" s="0" t="n">
        <v>0</v>
      </c>
      <c r="AJ35" s="0" t="n">
        <f aca="false">SUM(C35:AI35)</f>
        <v>1200</v>
      </c>
    </row>
    <row r="36" customFormat="false" ht="12.75" hidden="false" customHeight="false" outlineLevel="0" collapsed="false">
      <c r="A36" s="0" t="s">
        <v>7</v>
      </c>
      <c r="B36" s="0" t="s">
        <v>25</v>
      </c>
      <c r="C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T36" s="0" t="n">
        <v>2653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G36" s="0" t="n">
        <v>0</v>
      </c>
      <c r="AH36" s="0" t="n">
        <v>0</v>
      </c>
      <c r="AJ36" s="0" t="n">
        <f aca="false">SUM(C36:AI36)</f>
        <v>2653</v>
      </c>
    </row>
    <row r="37" customFormat="false" ht="12.75" hidden="false" customHeight="false" outlineLevel="0" collapsed="false">
      <c r="A37" s="0" t="s">
        <v>8</v>
      </c>
      <c r="B37" s="1" t="s">
        <v>29</v>
      </c>
      <c r="C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72</v>
      </c>
      <c r="J37" s="0" t="n">
        <v>295</v>
      </c>
      <c r="K37" s="0" t="n">
        <v>1598</v>
      </c>
      <c r="L37" s="0" t="n">
        <v>1231</v>
      </c>
      <c r="T37" s="0" t="n">
        <v>5425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G37" s="0" t="n">
        <v>0</v>
      </c>
      <c r="AJ37" s="0" t="n">
        <f aca="false">SUM(C37:AI37)</f>
        <v>8621</v>
      </c>
    </row>
    <row r="38" customFormat="false" ht="12.75" hidden="false" customHeight="false" outlineLevel="0" collapsed="false">
      <c r="A38" s="1" t="s">
        <v>8</v>
      </c>
      <c r="B38" s="1" t="s">
        <v>30</v>
      </c>
      <c r="AH38" s="0" t="n">
        <v>-400</v>
      </c>
      <c r="AJ38" s="0" t="n">
        <f aca="false">SUM(C38:AI38)</f>
        <v>-400</v>
      </c>
    </row>
    <row r="39" customFormat="false" ht="12.75" hidden="false" customHeight="false" outlineLevel="0" collapsed="false">
      <c r="A39" s="0" t="s">
        <v>8</v>
      </c>
      <c r="B39" s="0" t="s">
        <v>31</v>
      </c>
      <c r="C39" s="0" t="n">
        <f aca="false">SUM(C6:C38)</f>
        <v>15297</v>
      </c>
      <c r="D39" s="0" t="n">
        <f aca="false">SUM(D6:D38)</f>
        <v>12027</v>
      </c>
      <c r="E39" s="0" t="n">
        <f aca="false">SUM(E6:E38)</f>
        <v>13110</v>
      </c>
      <c r="F39" s="0" t="n">
        <f aca="false">SUM(F6:F38)</f>
        <v>6233</v>
      </c>
      <c r="G39" s="0" t="n">
        <f aca="false">SUM(G6:G38)</f>
        <v>12651</v>
      </c>
      <c r="H39" s="0" t="n">
        <f aca="false">SUM(H6:H38)</f>
        <v>13190</v>
      </c>
      <c r="I39" s="0" t="n">
        <f aca="false">SUM(I6:I38)</f>
        <v>6242</v>
      </c>
      <c r="J39" s="0" t="n">
        <f aca="false">SUM(J6:J38)</f>
        <v>10441</v>
      </c>
      <c r="K39" s="0" t="n">
        <f aca="false">SUM(K6:K38)</f>
        <v>5249</v>
      </c>
      <c r="L39" s="0" t="n">
        <f aca="false">SUM(L6:L38)</f>
        <v>9665</v>
      </c>
      <c r="M39" s="0" t="n">
        <f aca="false">SUM(M6:M38)</f>
        <v>2308</v>
      </c>
      <c r="N39" s="0" t="n">
        <f aca="false">SUM(N6:N38)</f>
        <v>2500</v>
      </c>
      <c r="O39" s="0" t="n">
        <f aca="false">SUM(O6:O38)</f>
        <v>4375</v>
      </c>
      <c r="P39" s="0" t="n">
        <f aca="false">SUM(P6:P38)</f>
        <v>1843</v>
      </c>
      <c r="Q39" s="0" t="n">
        <f aca="false">SUM(Q6:Q38)</f>
        <v>137</v>
      </c>
      <c r="R39" s="0" t="n">
        <f aca="false">SUM(R6:R38)</f>
        <v>46</v>
      </c>
      <c r="S39" s="0" t="n">
        <f aca="false">SUM(S6:S38)</f>
        <v>0</v>
      </c>
      <c r="T39" s="0" t="n">
        <f aca="false">SUM(T6:T38)</f>
        <v>17095</v>
      </c>
      <c r="U39" s="0" t="n">
        <f aca="false">SUM(U6:U38)</f>
        <v>25711</v>
      </c>
      <c r="V39" s="0" t="n">
        <f aca="false">SUM(V6:V38)</f>
        <v>17539</v>
      </c>
      <c r="W39" s="0" t="n">
        <f aca="false">SUM(W6:W38)</f>
        <v>21335</v>
      </c>
      <c r="X39" s="0" t="n">
        <f aca="false">SUM(X6:X38)</f>
        <v>8255</v>
      </c>
      <c r="Y39" s="0" t="n">
        <f aca="false">SUM(Y6:Y38)</f>
        <v>22131</v>
      </c>
      <c r="Z39" s="0" t="n">
        <f aca="false">SUM(Z6:Z38)</f>
        <v>19156</v>
      </c>
      <c r="AA39" s="0" t="n">
        <f aca="false">SUM(AA6:AA38)</f>
        <v>13324</v>
      </c>
      <c r="AB39" s="0" t="n">
        <f aca="false">SUM(AB6:AB38)</f>
        <v>21190</v>
      </c>
      <c r="AC39" s="0" t="n">
        <f aca="false">SUM(AC6:AC38)</f>
        <v>8255</v>
      </c>
      <c r="AD39" s="0" t="n">
        <f aca="false">SUM(AD6:AD38)</f>
        <v>7576</v>
      </c>
      <c r="AE39" s="0" t="n">
        <f aca="false">SUM(AE6:AE38)</f>
        <v>241</v>
      </c>
      <c r="AF39" s="0" t="n">
        <f aca="false">SUM(AF6:AF38)</f>
        <v>1200</v>
      </c>
      <c r="AG39" s="0" t="n">
        <f aca="false">SUM(AG6:AG38)</f>
        <v>2653</v>
      </c>
      <c r="AH39" s="0" t="n">
        <f aca="false">SUM(AH6:AH38)</f>
        <v>8621</v>
      </c>
      <c r="AI39" s="0" t="n">
        <f aca="false">SUM(AI6:AI38)</f>
        <v>-400</v>
      </c>
    </row>
    <row r="40" customFormat="false" ht="12.75" hidden="false" customHeight="false" outlineLevel="0" collapsed="false">
      <c r="C40" s="0" t="n">
        <f aca="false" t="array" ref="C40:AI40">TRANSPOSE(AJ6:AJ38)</f>
        <v>15297</v>
      </c>
      <c r="D40" s="0" t="n">
        <v>12027</v>
      </c>
      <c r="E40" s="0" t="n">
        <v>13110</v>
      </c>
      <c r="F40" s="0" t="n">
        <v>6233</v>
      </c>
      <c r="G40" s="0" t="n">
        <v>12651</v>
      </c>
      <c r="H40" s="0" t="n">
        <v>13190</v>
      </c>
      <c r="I40" s="0" t="n">
        <v>6242</v>
      </c>
      <c r="J40" s="0" t="n">
        <v>10441</v>
      </c>
      <c r="K40" s="0" t="n">
        <v>5249</v>
      </c>
      <c r="L40" s="0" t="n">
        <v>9665</v>
      </c>
      <c r="M40" s="0" t="n">
        <v>2308</v>
      </c>
      <c r="N40" s="0" t="n">
        <v>2500</v>
      </c>
      <c r="O40" s="0" t="n">
        <v>4375</v>
      </c>
      <c r="P40" s="0" t="n">
        <v>1843</v>
      </c>
      <c r="Q40" s="0" t="n">
        <v>137</v>
      </c>
      <c r="R40" s="0" t="n">
        <v>46</v>
      </c>
      <c r="S40" s="0" t="n">
        <v>0</v>
      </c>
      <c r="T40" s="0" t="n">
        <v>17095</v>
      </c>
      <c r="U40" s="0" t="n">
        <v>25711</v>
      </c>
      <c r="V40" s="0" t="n">
        <v>17539</v>
      </c>
      <c r="W40" s="0" t="n">
        <v>21335</v>
      </c>
      <c r="X40" s="0" t="n">
        <v>8255</v>
      </c>
      <c r="Y40" s="0" t="n">
        <v>22131</v>
      </c>
      <c r="Z40" s="0" t="n">
        <v>19156</v>
      </c>
      <c r="AA40" s="0" t="n">
        <v>13324</v>
      </c>
      <c r="AB40" s="0" t="n">
        <v>21190</v>
      </c>
      <c r="AC40" s="0" t="n">
        <v>8255</v>
      </c>
      <c r="AD40" s="0" t="n">
        <v>7576</v>
      </c>
      <c r="AE40" s="0" t="n">
        <v>241</v>
      </c>
      <c r="AF40" s="0" t="n">
        <v>1200</v>
      </c>
      <c r="AG40" s="0" t="n">
        <v>2653</v>
      </c>
      <c r="AH40" s="0" t="n">
        <v>8621</v>
      </c>
      <c r="AI40" s="0" t="n">
        <v>-400</v>
      </c>
    </row>
    <row r="41" customFormat="false" ht="12.75" hidden="false" customHeight="false" outlineLevel="0" collapsed="false">
      <c r="C41" s="0" t="n">
        <f aca="false">C40-C39</f>
        <v>0</v>
      </c>
      <c r="D41" s="0" t="n">
        <f aca="false">D40-D39</f>
        <v>0</v>
      </c>
      <c r="E41" s="0" t="n">
        <f aca="false">E40-E39</f>
        <v>0</v>
      </c>
      <c r="F41" s="0" t="n">
        <f aca="false">F40-F39</f>
        <v>0</v>
      </c>
      <c r="G41" s="0" t="n">
        <f aca="false">G40-G39</f>
        <v>0</v>
      </c>
      <c r="H41" s="0" t="n">
        <f aca="false">H40-H39</f>
        <v>0</v>
      </c>
      <c r="I41" s="0" t="n">
        <f aca="false">I40-I39</f>
        <v>0</v>
      </c>
      <c r="J41" s="0" t="n">
        <f aca="false">J40-J39</f>
        <v>0</v>
      </c>
      <c r="K41" s="0" t="n">
        <f aca="false">K40-K39</f>
        <v>0</v>
      </c>
      <c r="L41" s="0" t="n">
        <f aca="false">L40-L39</f>
        <v>0</v>
      </c>
      <c r="M41" s="0" t="n">
        <f aca="false">M40-M39</f>
        <v>0</v>
      </c>
      <c r="N41" s="0" t="n">
        <f aca="false">N40-N39</f>
        <v>0</v>
      </c>
      <c r="O41" s="0" t="n">
        <f aca="false">O40-O39</f>
        <v>0</v>
      </c>
      <c r="P41" s="0" t="n">
        <f aca="false">P40-P39</f>
        <v>0</v>
      </c>
      <c r="Q41" s="0" t="n">
        <f aca="false">Q40-Q39</f>
        <v>0</v>
      </c>
      <c r="R41" s="0" t="n">
        <f aca="false">R40-R39</f>
        <v>0</v>
      </c>
      <c r="S41" s="0" t="n">
        <f aca="false">S40-S39</f>
        <v>0</v>
      </c>
      <c r="T41" s="0" t="n">
        <f aca="false">T40-T39</f>
        <v>0</v>
      </c>
      <c r="U41" s="0" t="n">
        <f aca="false">U40-U39</f>
        <v>0</v>
      </c>
      <c r="V41" s="0" t="n">
        <f aca="false">V40-V39</f>
        <v>0</v>
      </c>
      <c r="W41" s="0" t="n">
        <f aca="false">W40-W39</f>
        <v>0</v>
      </c>
      <c r="X41" s="0" t="n">
        <f aca="false">X40-X39</f>
        <v>0</v>
      </c>
      <c r="Y41" s="0" t="n">
        <f aca="false">Y40-Y39</f>
        <v>0</v>
      </c>
      <c r="Z41" s="0" t="n">
        <f aca="false">Z40-Z39</f>
        <v>0</v>
      </c>
      <c r="AA41" s="0" t="n">
        <f aca="false">AA40-AA39</f>
        <v>0</v>
      </c>
      <c r="AB41" s="0" t="n">
        <f aca="false">AB40-AB39</f>
        <v>0</v>
      </c>
      <c r="AC41" s="0" t="n">
        <f aca="false">AC40-AC39</f>
        <v>0</v>
      </c>
      <c r="AD41" s="0" t="n">
        <f aca="false">AD40-AD39</f>
        <v>0</v>
      </c>
      <c r="AE41" s="0" t="n">
        <f aca="false">AE40-AE39</f>
        <v>0</v>
      </c>
      <c r="AF41" s="0" t="n">
        <f aca="false">AF40-AF39</f>
        <v>0</v>
      </c>
      <c r="AG41" s="0" t="n">
        <f aca="false">AG40-AG39</f>
        <v>0</v>
      </c>
      <c r="AH41" s="0" t="n">
        <f aca="false">AH40-AH39</f>
        <v>0</v>
      </c>
      <c r="AI41" s="0" t="n">
        <f aca="false">AI40-AI39</f>
        <v>0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2008-04-04T12:42:24Z</dcterms:created>
  <dc:creator>Veronique</dc:creator>
  <dc:description/>
  <dc:language>en-US</dc:language>
  <cp:lastModifiedBy>Veronique</cp:lastModifiedBy>
  <dcterms:modified xsi:type="dcterms:W3CDTF">2012-02-10T14:17:54Z</dcterms:modified>
  <cp:revision>0</cp:revision>
  <dc:subject/>
  <dc:title/>
</cp:coreProperties>
</file>